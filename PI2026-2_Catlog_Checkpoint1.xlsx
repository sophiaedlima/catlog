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erificação de escopo" sheetId="1" r:id="rId5"/>
    <sheet state="visible" name="Backlog priorizado" sheetId="2" r:id="rId6"/>
    <sheet state="visible" name="Resumo" sheetId="3" r:id="rId7"/>
  </sheets>
  <definedNames/>
  <calcPr/>
</workbook>
</file>

<file path=xl/sharedStrings.xml><?xml version="1.0" encoding="utf-8"?>
<sst xmlns="http://schemas.openxmlformats.org/spreadsheetml/2006/main" count="483" uniqueCount="262">
  <si>
    <t>CatLog: Verificação de escopo (Checkpoint 1)</t>
  </si>
  <si>
    <t>CatLog: Backlog priorizado (Checkpoint 1)</t>
  </si>
  <si>
    <t>Conferência do escopo definido pela equipe em relação aos requisitos mínimos da Seção 5 do documento norteador. Situação: Atendido, Parcial ou Não atendido.</t>
  </si>
  <si>
    <t>Nº</t>
  </si>
  <si>
    <t>Requisito mínimo</t>
  </si>
  <si>
    <t>Situação</t>
  </si>
  <si>
    <t>Onde está previsto</t>
  </si>
  <si>
    <t>Observações da equipe</t>
  </si>
  <si>
    <t>R1</t>
  </si>
  <si>
    <t>Mínimo de 6 telas com navegação estruturada</t>
  </si>
  <si>
    <t>Atendido</t>
  </si>
  <si>
    <t>12 telas (T01 a T12) no protótipo navegável</t>
  </si>
  <si>
    <t>Navegação separada por perfil, com barra inferior</t>
  </si>
  <si>
    <t>Prioridade: Essencial, Importante ou Desejável. Estimativa em pontos de história (1, 2, 3, 5, 8 ou 13). Situação: A fazer, Em andamento, Concluído ou Replanejado.</t>
  </si>
  <si>
    <t>CatLog: Resumo do backlog</t>
  </si>
  <si>
    <t>R2</t>
  </si>
  <si>
    <t>Autenticação com 2 perfis de permissão distintos</t>
  </si>
  <si>
    <t>B05, B06 e B07 do backlog; telas T01 e T02</t>
  </si>
  <si>
    <t>Perfis tutor e cuidador, com rotas protegidas por perfil</t>
  </si>
  <si>
    <t>Todos os valores desta aba são calculados a partir da aba Backlog priorizado.</t>
  </si>
  <si>
    <t>R3</t>
  </si>
  <si>
    <t>Manutenção completa de dados sobre 2 entidades</t>
  </si>
  <si>
    <t>B10 e B12 do backlog; telas T04, T05 e T06</t>
  </si>
  <si>
    <t>Gato e item de saúde com inclusão, consulta, alteração e exclusão</t>
  </si>
  <si>
    <t>Por prioridade</t>
  </si>
  <si>
    <t>R4</t>
  </si>
  <si>
    <t>Mínimo de 3 regras de negócio não triviais</t>
  </si>
  <si>
    <t>RN01 a RN08 do documento de projeto</t>
  </si>
  <si>
    <t>ID</t>
  </si>
  <si>
    <t>8 regras, sendo 3 demonstradas no protótipo (RN01, RN02, RN03 e RN05)</t>
  </si>
  <si>
    <t>R5</t>
  </si>
  <si>
    <t>Persistência local com tratamento de ausência de conectividade</t>
  </si>
  <si>
    <t>Épico</t>
  </si>
  <si>
    <t>B28 do backlog; simulação sem internet no protótipo</t>
  </si>
  <si>
    <t>História de usuário</t>
  </si>
  <si>
    <t>SQLite com fila de sincronização para relatórios e check-ins</t>
  </si>
  <si>
    <t>Critérios de aceitação</t>
  </si>
  <si>
    <t>R6</t>
  </si>
  <si>
    <t>Requisitos</t>
  </si>
  <si>
    <t>Persistência remota com sincronização</t>
  </si>
  <si>
    <t>Categoria</t>
  </si>
  <si>
    <t>Prioridade</t>
  </si>
  <si>
    <t>B03 e B28 do backlog</t>
  </si>
  <si>
    <t>Pontos</t>
  </si>
  <si>
    <t>API Spring Boot com PostgreSQL</t>
  </si>
  <si>
    <t>Ciclo</t>
  </si>
  <si>
    <t>R7</t>
  </si>
  <si>
    <t>Responsável</t>
  </si>
  <si>
    <t>Consumo de serviço ou API externa</t>
  </si>
  <si>
    <t>Itens</t>
  </si>
  <si>
    <t>B08, B09 e B39 do backlog</t>
  </si>
  <si>
    <t>ViaCEP e Nominatim como essenciais; TheCatAPI como desejável</t>
  </si>
  <si>
    <t>Essencial</t>
  </si>
  <si>
    <t>R8</t>
  </si>
  <si>
    <t>Uso de recurso nativo do dispositivo</t>
  </si>
  <si>
    <t>B01</t>
  </si>
  <si>
    <t>B11, B16, B25 e B27 do backlog</t>
  </si>
  <si>
    <t>Câmera, GPS e notificações</t>
  </si>
  <si>
    <t>Base do projeto</t>
  </si>
  <si>
    <t>R9</t>
  </si>
  <si>
    <t>Listagens com filtro ou busca e visão consolidada</t>
  </si>
  <si>
    <t>Como equipe, queremos o repositório configurado para trabalharmos em paralelo sem conflitos</t>
  </si>
  <si>
    <t>B14, B18, B22 e B31; telas T04, T06, T07 e T09</t>
  </si>
  <si>
    <t>Repositório criado, branches main e develop, README inicial e .env.example versionados</t>
  </si>
  <si>
    <t>Busca de gatos, filtros de cuidadores e de agenda, gráfico de peso e telas de resumo</t>
  </si>
  <si>
    <t>R13</t>
  </si>
  <si>
    <t>R10</t>
  </si>
  <si>
    <t>Tratamento de erros e indicação de estados</t>
  </si>
  <si>
    <t>B32 do backlog; estados demonstrados no protótipo</t>
  </si>
  <si>
    <t>Carregamento, lista vazia, mensagens de erro e bloqueio de ações inválidas</t>
  </si>
  <si>
    <t>Ciclo 1</t>
  </si>
  <si>
    <t>R11</t>
  </si>
  <si>
    <t>Gabriel</t>
  </si>
  <si>
    <t>Usabilidade e acessibilidade</t>
  </si>
  <si>
    <t>Concluído</t>
  </si>
  <si>
    <t>B04 e B33 do backlog</t>
  </si>
  <si>
    <t>Contraste, botões de 48 dp, rótulos para leitores de tela e fonte ampliável</t>
  </si>
  <si>
    <t>R12</t>
  </si>
  <si>
    <t>B02</t>
  </si>
  <si>
    <t>Organização do código em camadas, sem credenciais versionadas</t>
  </si>
  <si>
    <t>B01, B02 e B03 do backlog</t>
  </si>
  <si>
    <t>Camadas no app e na API; variáveis de ambiente e arquivo .env.example</t>
  </si>
  <si>
    <t>Repositório Git com histórico distribuído e README</t>
  </si>
  <si>
    <t>B01 e B38 do backlog</t>
  </si>
  <si>
    <t>Como equipe, queremos o aplicativo estruturado em camadas para organizar o código desde o início</t>
  </si>
  <si>
    <t>Branches por funcionalidade, pull requests revisados e commits descritivos</t>
  </si>
  <si>
    <t>Projeto Expo criado, pastas de telas, serviços e dados, navegação entre telas funcionando</t>
  </si>
  <si>
    <t>R14</t>
  </si>
  <si>
    <t>R1, R12</t>
  </si>
  <si>
    <t>Pacote instalável testado em dispositivo físico</t>
  </si>
  <si>
    <t>B37 do backlog</t>
  </si>
  <si>
    <t>APK gerado pelo Expo e instalado nos celulares dos integrantes</t>
  </si>
  <si>
    <t>Em andamento</t>
  </si>
  <si>
    <t>B03</t>
  </si>
  <si>
    <t>Resumo</t>
  </si>
  <si>
    <t>Como equipe, queremos a API estruturada em camadas com banco de dados para receber os primeiros dados</t>
  </si>
  <si>
    <t>API Spring Boot com camadas controller, service e repository, banco PostgreSQL e migrações Flyway</t>
  </si>
  <si>
    <t>Requisitos atendidos no escopo</t>
  </si>
  <si>
    <t>R6, R12</t>
  </si>
  <si>
    <t>Sophia</t>
  </si>
  <si>
    <t>Importante</t>
  </si>
  <si>
    <t>B04</t>
  </si>
  <si>
    <t>Como equipe, queremos um padrão visual acessível para todas as telas seguirem o mesmo estilo</t>
  </si>
  <si>
    <t>Paleta com contraste mínimo de 4,5:1, tipografia definida e componentes de botão, campo e cartão</t>
  </si>
  <si>
    <t>Hemily</t>
  </si>
  <si>
    <t>B05</t>
  </si>
  <si>
    <t>Conta e acesso</t>
  </si>
  <si>
    <t>Como visitante, quero criar uma conta escolhendo se sou tutor ou cuidador para usar o aplicativo</t>
  </si>
  <si>
    <t>Cadastro valida e-mail único e senha com 8 caracteres, salva a senha criptografada e já faz login</t>
  </si>
  <si>
    <t>RF01</t>
  </si>
  <si>
    <t>A fazer</t>
  </si>
  <si>
    <t>B06</t>
  </si>
  <si>
    <t>Como usuário cadastrado, quero entrar com e-mail e senha para acessar minha área</t>
  </si>
  <si>
    <t>Login retorna token JWT, erro de senha mostra mensagem clara e o app leva para a tela do perfil certo</t>
  </si>
  <si>
    <t>RF02</t>
  </si>
  <si>
    <t>Desejável</t>
  </si>
  <si>
    <t>B07</t>
  </si>
  <si>
    <t>Requisitos parciais</t>
  </si>
  <si>
    <t>Como usuário, quero que minhas informações só sejam acessadas por quem tem permissão</t>
  </si>
  <si>
    <t>Rotas da API exigem token válido e conferem o perfil; telas do outro perfil não aparecem na navegação</t>
  </si>
  <si>
    <t>RF02, R2</t>
  </si>
  <si>
    <t>B08</t>
  </si>
  <si>
    <t>Requisitos não atendidos</t>
  </si>
  <si>
    <t>Como usuário, quero cadastrar meus endereços informando o CEP para não digitar tudo</t>
  </si>
  <si>
    <t>Ao digitar o CEP, o endereço é preenchido pelo ViaCEP; se o serviço falhar, é possível preencher à mão</t>
  </si>
  <si>
    <t>RF03, R7</t>
  </si>
  <si>
    <t>Ciclo 2</t>
  </si>
  <si>
    <t>B09</t>
  </si>
  <si>
    <t>Como sistema, preciso da latitude e longitude do endereço para calcular distâncias</t>
  </si>
  <si>
    <t>Endereço salvo vira coordenadas pelo Nominatim; falha na conversão não impede salvar o endereço</t>
  </si>
  <si>
    <t>Por ciclo</t>
  </si>
  <si>
    <t>Total de requisitos</t>
  </si>
  <si>
    <t>B10</t>
  </si>
  <si>
    <t>Gatos e saúde</t>
  </si>
  <si>
    <t>Como tutor, quero cadastrar, consultar, editar e excluir meus gatos</t>
  </si>
  <si>
    <t>Cadastro exige nome e sexo, lista mostra todos os gatos, edição e exclusão pedem confirmação</t>
  </si>
  <si>
    <t>RF04, R3</t>
  </si>
  <si>
    <t>B11</t>
  </si>
  <si>
    <t>Como preencher: atualize a coluna Situação a cada ciclo. O resumo acima é calculado por fórmula e não deve ser digitado.</t>
  </si>
  <si>
    <t>Como tutor, quero colocar uma foto do meu gato tirada pela câmera ou escolhida na galeria</t>
  </si>
  <si>
    <t>App pede permissão, comprime a foto para cerca de 1 MB e mostra a imagem no perfil do gato</t>
  </si>
  <si>
    <t>RF04, R8</t>
  </si>
  <si>
    <t>Fonte dos requisitos: Documento norteador do Projeto Integrador, ADS PUC Goiás, 2026/2, Seção 5.</t>
  </si>
  <si>
    <t>B12</t>
  </si>
  <si>
    <t>Como tutor, quero registrar vacinas, vermífugos e remédios de cada gato</t>
  </si>
  <si>
    <t>Cadastro com tipo, nome, data de aplicação e próxima dose; permite editar e excluir</t>
  </si>
  <si>
    <t>RF05, R3</t>
  </si>
  <si>
    <t>B13</t>
  </si>
  <si>
    <t>Como tutor, quero ver quais cuidados estão vencidos ou vencendo para não perder a data</t>
  </si>
  <si>
    <t>Item vencido aparece como Vencido e item com até 7 dias aparece como A vencer, com destaque visual</t>
  </si>
  <si>
    <t>RN04, RF07</t>
  </si>
  <si>
    <t>B14</t>
  </si>
  <si>
    <t>Como tutor, quero registrar o peso do gato e ver a evolução em um gráfico</t>
  </si>
  <si>
    <t>Peso aceito entre 0,5 e 15 kg, gráfico com os últimos registros e alerta quando a variação passa de 10%</t>
  </si>
  <si>
    <t>RF06, RN07, R9</t>
  </si>
  <si>
    <t>B15</t>
  </si>
  <si>
    <t>Como tutor, quero ver na tela inicial os alertas de saúde e a próxima visita</t>
  </si>
  <si>
    <t>Tela inicial lista alertas ativos e a próxima visita confirmada, com atalho para a tela correspondente</t>
  </si>
  <si>
    <t>RF07, RF18, R9</t>
  </si>
  <si>
    <t>B16</t>
  </si>
  <si>
    <t>Como tutor, quero receber lembretes no celular das próximas doses</t>
  </si>
  <si>
    <t>Notificação enviada 7 dias antes e no dia da dose; tocar na notificação abre a carteira de saúde</t>
  </si>
  <si>
    <t>RF08, R8</t>
  </si>
  <si>
    <t>Ciclo 3</t>
  </si>
  <si>
    <t>B17</t>
  </si>
  <si>
    <t>Cuidadores e visitas</t>
  </si>
  <si>
    <t>Como tutor, quero encontrar cuidadores que atendem perto da minha casa</t>
  </si>
  <si>
    <t>Lista mostra cuidadores dentro do raio de atendimento, com a distância em quilômetros</t>
  </si>
  <si>
    <t>RF09</t>
  </si>
  <si>
    <t>B18</t>
  </si>
  <si>
    <t>Como tutor, quero filtrar por distância e ordenar a lista de cuidadores</t>
  </si>
  <si>
    <t>Filtros de 5, 10 e 20 km e ordenação por distância ou nome, com indicação de carregamento e lista vazia</t>
  </si>
  <si>
    <t>RF09, R9</t>
  </si>
  <si>
    <t>B19</t>
  </si>
  <si>
    <t>Como tutor, quero solicitar uma visita escolhendo gatos, data, horário e instruções</t>
  </si>
  <si>
    <t>Solicitação exige ao menos 1 gato, 12 horas de antecedência e duração de 30 a 120 minutos</t>
  </si>
  <si>
    <t>RF10, RN02</t>
  </si>
  <si>
    <t>B20</t>
  </si>
  <si>
    <t>Como cuidador, quero aceitar ou recusar as solicitações que recebo</t>
  </si>
  <si>
    <t>Aceite bloqueado quando há conflito de horário, com mensagem indicando a visita em conflito</t>
  </si>
  <si>
    <t>RF11, RN01</t>
  </si>
  <si>
    <t>B21</t>
  </si>
  <si>
    <t>Como sistema, preciso controlar as situações da visita e expirar pedidos sem resposta</t>
  </si>
  <si>
    <t>Transições fora da ordem são recusadas e pedidos sem resposta até 2 horas antes viram Expirada</t>
  </si>
  <si>
    <t>RN06</t>
  </si>
  <si>
    <t>B22</t>
  </si>
  <si>
    <t>Como cuidador, quero ver minha agenda com filtros por situação e período</t>
  </si>
  <si>
    <t>Agenda lista as visitas do dia, filtra por situação e mostra o total do mês</t>
  </si>
  <si>
    <t>RF12, RF18, R9</t>
  </si>
  <si>
    <t>Ciclo 4</t>
  </si>
  <si>
    <t>B23</t>
  </si>
  <si>
    <t>Como tutor ou cuidador, quero cancelar uma visita informando o motivo</t>
  </si>
  <si>
    <t>Cancelamento permitido até 6 horas antes; depois disso o botão fica desativado com explicação</t>
  </si>
  <si>
    <t>RF13, RN02</t>
  </si>
  <si>
    <t>B24</t>
  </si>
  <si>
    <t>Como usuário, quero ser avisado quando a visita mudar de situação</t>
  </si>
  <si>
    <t>Notificação enviada no aceite, recusa, check-in, conclusão e cancelamento</t>
  </si>
  <si>
    <t>RF19, R8</t>
  </si>
  <si>
    <t>B25</t>
  </si>
  <si>
    <t>Execução da visita</t>
  </si>
  <si>
    <t>Como cuidador, quero fazer check-in ao chegar na casa do tutor</t>
  </si>
  <si>
    <t>Check-in só é aceito a até 200 metros e entre 15 minutos antes e 30 minutos depois do horário</t>
  </si>
  <si>
    <t>RF14, RN03, R8</t>
  </si>
  <si>
    <t>B26</t>
  </si>
  <si>
    <t>Como cuidador, quero registrar o que fiz na visita em uma lista de tarefas</t>
  </si>
  <si>
    <t>Relatório com alimentou, trocou a água, limpou a caixa e observações; medicou é obrigatório quando há remédio</t>
  </si>
  <si>
    <t>RF15, RN05</t>
  </si>
  <si>
    <t>Verificação</t>
  </si>
  <si>
    <t>B27</t>
  </si>
  <si>
    <t>Como cuidador, quero anexar fotos dos gatos ao relatório</t>
  </si>
  <si>
    <t>De 1 a 5 fotos tiradas pela câmera, comprimidas e enviadas ao armazenamento de imagens</t>
  </si>
  <si>
    <t>RF15, RN05, R8</t>
  </si>
  <si>
    <t>B28</t>
  </si>
  <si>
    <t>Como cuidador, quero registrar a visita mesmo sem internet</t>
  </si>
  <si>
    <t>Relatório e check-in ficam salvos no celular, aviso de modo offline aparece e o envio ocorre ao reconectar</t>
  </si>
  <si>
    <t>RF16, R5</t>
  </si>
  <si>
    <t>B29</t>
  </si>
  <si>
    <t>Como tutor, quero que o cuidador veja os dados dos meus gatos apenas durante a visita</t>
  </si>
  <si>
    <t>Acesso liberado do aceite até 24 horas após a conclusão; fora disso a API nega e os dados locais são apagados</t>
  </si>
  <si>
    <t>RN08</t>
  </si>
  <si>
    <t>B30</t>
  </si>
  <si>
    <t>Como tutor ou cuidador, quero consultar o histórico de visitas e seus relatórios</t>
  </si>
  <si>
    <t>Histórico lista visitas anteriores com situação, relatório e fotos</t>
  </si>
  <si>
    <t>RF17</t>
  </si>
  <si>
    <t>B31</t>
  </si>
  <si>
    <t>Como cuidador, quero ver um resumo do meu mês de trabalho</t>
  </si>
  <si>
    <t>Tela mostra visitas concluídas no mês e visitas agendadas</t>
  </si>
  <si>
    <t>RF18, R9</t>
  </si>
  <si>
    <t>Encerramento</t>
  </si>
  <si>
    <t>B32</t>
  </si>
  <si>
    <t>Qualidade e entrega</t>
  </si>
  <si>
    <t>Como usuário, quero saber o que está acontecendo quando algo carrega, falha ou está vazio</t>
  </si>
  <si>
    <t>Todas as telas têm indicação de carregamento, mensagem de lista vazia e erro com opção de tentar novamente</t>
  </si>
  <si>
    <t>RNF10, R10</t>
  </si>
  <si>
    <t>B33</t>
  </si>
  <si>
    <t>Como usuário com baixa visão, quero usar o aplicativo com fonte ampliada e leitor de tela</t>
  </si>
  <si>
    <t>Contraste conferido, botões com 48 dp, rótulos de acessibilidade e teste com o TalkBack</t>
  </si>
  <si>
    <t>RNF07, R11</t>
  </si>
  <si>
    <t>B34</t>
  </si>
  <si>
    <t>Como equipe, queremos um roteiro de testes funcionais dos fluxos principais</t>
  </si>
  <si>
    <t>Roteiro com caso de teste, resultado esperado e resultado obtido, executado antes da N2</t>
  </si>
  <si>
    <t>B35</t>
  </si>
  <si>
    <t>Como equipe, queremos testar o aplicativo com usuários reais</t>
  </si>
  <si>
    <t>Sessões com pelo menos 5 pessoas fora da equipe, com registro dos problemas encontrados</t>
  </si>
  <si>
    <t>Todos</t>
  </si>
  <si>
    <t>B36</t>
  </si>
  <si>
    <t>Por responsável</t>
  </si>
  <si>
    <t>Como equipe, queremos corrigir os defeitos encontrados nos testes</t>
  </si>
  <si>
    <t>Defeitos registrados com severidade e corrigidos ou justificados antes do congelamento de escopo</t>
  </si>
  <si>
    <t>B37</t>
  </si>
  <si>
    <t>Como equipe, queremos gerar o APK e testar a instalação em celular físico</t>
  </si>
  <si>
    <t>APK gerado pelo Expo, instalado em pelo menos 2 celulares e com credenciais de teste de cada perfil</t>
  </si>
  <si>
    <t>B38</t>
  </si>
  <si>
    <t>Como equipe, queremos entregar a documentação final e o README completo</t>
  </si>
  <si>
    <t>Relatório técnico, instruções de instalação e execução e lista de conformidade preenchida</t>
  </si>
  <si>
    <t>B39</t>
  </si>
  <si>
    <t>Como tutor, quero escolher a raça do meu gato a partir de uma lista pronta</t>
  </si>
  <si>
    <t>Lista de raças vem de serviço externo; se falhar, o campo aceita texto livre</t>
  </si>
  <si>
    <t>RF20, R7</t>
  </si>
  <si>
    <t>Total de pontos</t>
  </si>
  <si>
    <t>Por situação</t>
  </si>
  <si>
    <t>Replanejado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</si>
</sst>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1.0"/>
      <color theme="1"/>
      <name val="Calibri"/>
      <scheme val="minor"/>
    </font>
    <font>
      <b/>
      <sz val="14.0"/>
      <color rgb="FF000000"/>
      <name val="Arial"/>
    </font>
    <font>
      <color rgb="FF000000"/>
      <name val="Calibri"/>
      <scheme val="minor"/>
    </font>
    <font>
      <i/>
      <sz val="10.0"/>
      <color rgb="FF000000"/>
      <name val="Arial"/>
    </font>
    <font>
      <b/>
      <sz val="10.0"/>
      <color rgb="FFFFFFFF"/>
      <name val="Arial"/>
    </font>
    <font>
      <sz val="10.0"/>
      <color rgb="FF000000"/>
      <name val="Arial"/>
    </font>
    <font>
      <b/>
      <sz val="11.0"/>
      <color rgb="FF000000"/>
      <name val="Arial"/>
    </font>
    <font>
      <b/>
      <sz val="10.0"/>
      <color rgb="FF000000"/>
      <name val="Arial"/>
    </font>
    <font>
      <b/>
      <sz val="11.0"/>
      <color theme="1"/>
      <name val="Arial"/>
    </font>
    <font>
      <i/>
      <sz val="9.0"/>
      <color rgb="FF000000"/>
      <name val="Arial"/>
    </font>
    <font>
      <i/>
      <sz val="9.0"/>
      <color rgb="FF4A5A6A"/>
      <name val="Arial"/>
    </font>
  </fonts>
  <fills count="4">
    <fill>
      <patternFill patternType="none"/>
    </fill>
    <fill>
      <patternFill patternType="lightGray"/>
    </fill>
    <fill>
      <patternFill patternType="solid">
        <fgColor rgb="FF1F3B57"/>
        <bgColor rgb="FF1F3B57"/>
      </patternFill>
    </fill>
    <fill>
      <patternFill patternType="solid">
        <fgColor rgb="FFEDF1F5"/>
        <bgColor rgb="FFEDF1F5"/>
      </patternFill>
    </fill>
  </fills>
  <borders count="2">
    <border/>
    <border>
      <left style="thin">
        <color rgb="FFB8C4D0"/>
      </left>
      <right style="thin">
        <color rgb="FFB8C4D0"/>
      </right>
      <top style="thin">
        <color rgb="FFB8C4D0"/>
      </top>
      <bottom style="thin">
        <color rgb="FFB8C4D0"/>
      </bottom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Font="1"/>
    <xf borderId="0" fillId="0" fontId="3" numFmtId="0" xfId="0" applyAlignment="1" applyFont="1">
      <alignment shrinkToFit="0" vertical="bottom" wrapText="0"/>
    </xf>
    <xf borderId="1" fillId="2" fontId="4" numFmtId="0" xfId="0" applyAlignment="1" applyBorder="1" applyFill="1" applyFont="1">
      <alignment horizontal="center" shrinkToFit="0" vertical="center" wrapText="1"/>
    </xf>
    <xf borderId="1" fillId="0" fontId="5" numFmtId="0" xfId="0" applyAlignment="1" applyBorder="1" applyFont="1">
      <alignment horizontal="center" shrinkToFit="0" vertical="top" wrapText="1"/>
    </xf>
    <xf borderId="1" fillId="0" fontId="5" numFmtId="0" xfId="0" applyAlignment="1" applyBorder="1" applyFont="1">
      <alignment horizontal="left" shrinkToFit="0" vertical="top" wrapText="1"/>
    </xf>
    <xf borderId="1" fillId="3" fontId="5" numFmtId="0" xfId="0" applyAlignment="1" applyBorder="1" applyFill="1" applyFont="1">
      <alignment horizontal="center" shrinkToFit="0" vertical="top" wrapText="1"/>
    </xf>
    <xf borderId="1" fillId="3" fontId="5" numFmtId="0" xfId="0" applyAlignment="1" applyBorder="1" applyFill="1" applyFont="1">
      <alignment horizontal="left" shrinkToFit="0" vertical="top" wrapText="1"/>
    </xf>
    <xf borderId="0" fillId="0" fontId="6" numFmtId="0" xfId="0" applyAlignment="1" applyFont="1">
      <alignment shrinkToFit="0" vertical="bottom" wrapText="0"/>
    </xf>
    <xf borderId="1" fillId="2" fontId="4" numFmtId="0" xfId="0" applyAlignment="1" applyBorder="1" applyFill="1" applyFont="1">
      <alignment shrinkToFit="0" vertical="bottom" wrapText="0"/>
    </xf>
    <xf borderId="1" fillId="0" fontId="5" numFmtId="0" xfId="0" applyAlignment="1" applyBorder="1" applyFont="1">
      <alignment shrinkToFit="0" vertical="bottom" wrapText="0"/>
    </xf>
    <xf borderId="0" fillId="0" fontId="5" numFmtId="0" xfId="0" applyAlignment="1" applyFont="1">
      <alignment shrinkToFit="0" vertical="bottom" wrapText="0"/>
    </xf>
    <xf borderId="0" fillId="0" fontId="7" numFmtId="0" xfId="0" applyAlignment="1" applyFont="1">
      <alignment shrinkToFit="0" vertical="bottom" wrapText="0"/>
    </xf>
    <xf borderId="0" fillId="0" fontId="8" numFmtId="0" xfId="0" applyAlignment="1" applyFont="1">
      <alignment shrinkToFit="0" vertical="bottom" wrapText="0"/>
    </xf>
    <xf borderId="0" fillId="0" fontId="9" numFmtId="0" xfId="0" applyAlignment="1" applyFont="1">
      <alignment shrinkToFit="0" vertical="bottom" wrapText="0"/>
    </xf>
    <xf borderId="0" fillId="0" fontId="10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28.57"/>
    <col customWidth="1" min="2" max="2" width="42.0"/>
    <col customWidth="1" min="3" max="3" width="14.0"/>
    <col customWidth="1" min="4" max="4" width="38.0"/>
    <col customWidth="1" min="5" max="5" width="56.14"/>
    <col customWidth="1" min="6" max="26" width="8.71"/>
  </cols>
  <sheetData>
    <row r="1">
      <c r="A1" s="1" t="s">
        <v>0</v>
      </c>
      <c r="B1" s="2"/>
      <c r="C1" s="2"/>
      <c r="D1" s="2"/>
      <c r="E1" s="2"/>
      <c r="F1" s="2"/>
      <c r="G1" s="2"/>
    </row>
    <row r="2">
      <c r="A2" s="3" t="s">
        <v>2</v>
      </c>
      <c r="B2" s="2"/>
      <c r="C2" s="2"/>
      <c r="D2" s="2"/>
      <c r="E2" s="2"/>
      <c r="F2" s="2"/>
      <c r="G2" s="2"/>
    </row>
    <row r="3">
      <c r="A3" s="2"/>
      <c r="B3" s="2"/>
      <c r="C3" s="2"/>
      <c r="D3" s="2"/>
      <c r="E3" s="2"/>
      <c r="F3" s="2"/>
      <c r="G3" s="2"/>
    </row>
    <row r="4" ht="30.0" customHeight="1">
      <c r="A4" s="4" t="s">
        <v>3</v>
      </c>
      <c r="B4" s="4" t="s">
        <v>4</v>
      </c>
      <c r="C4" s="4" t="s">
        <v>5</v>
      </c>
      <c r="D4" s="4" t="s">
        <v>6</v>
      </c>
      <c r="E4" s="4" t="s">
        <v>7</v>
      </c>
      <c r="F4" s="2"/>
      <c r="G4" s="2"/>
    </row>
    <row r="5">
      <c r="A5" s="5" t="s">
        <v>8</v>
      </c>
      <c r="B5" s="6" t="s">
        <v>9</v>
      </c>
      <c r="C5" s="5" t="s">
        <v>10</v>
      </c>
      <c r="D5" s="6" t="s">
        <v>11</v>
      </c>
      <c r="E5" s="6" t="s">
        <v>12</v>
      </c>
      <c r="F5" s="2"/>
      <c r="G5" s="2"/>
    </row>
    <row r="6">
      <c r="A6" s="7" t="s">
        <v>15</v>
      </c>
      <c r="B6" s="8" t="s">
        <v>16</v>
      </c>
      <c r="C6" s="7" t="s">
        <v>10</v>
      </c>
      <c r="D6" s="8" t="s">
        <v>17</v>
      </c>
      <c r="E6" s="8" t="s">
        <v>18</v>
      </c>
      <c r="F6" s="2"/>
      <c r="G6" s="2"/>
    </row>
    <row r="7">
      <c r="A7" s="5" t="s">
        <v>20</v>
      </c>
      <c r="B7" s="6" t="s">
        <v>21</v>
      </c>
      <c r="C7" s="5" t="s">
        <v>10</v>
      </c>
      <c r="D7" s="6" t="s">
        <v>22</v>
      </c>
      <c r="E7" s="6" t="s">
        <v>23</v>
      </c>
      <c r="F7" s="2"/>
      <c r="G7" s="2"/>
    </row>
    <row r="8">
      <c r="A8" s="7" t="s">
        <v>25</v>
      </c>
      <c r="B8" s="8" t="s">
        <v>26</v>
      </c>
      <c r="C8" s="7" t="s">
        <v>10</v>
      </c>
      <c r="D8" s="8" t="s">
        <v>27</v>
      </c>
      <c r="E8" s="8" t="s">
        <v>29</v>
      </c>
      <c r="F8" s="2"/>
      <c r="G8" s="2"/>
    </row>
    <row r="9">
      <c r="A9" s="5" t="s">
        <v>30</v>
      </c>
      <c r="B9" s="6" t="s">
        <v>31</v>
      </c>
      <c r="C9" s="5" t="s">
        <v>10</v>
      </c>
      <c r="D9" s="6" t="s">
        <v>33</v>
      </c>
      <c r="E9" s="6" t="s">
        <v>35</v>
      </c>
      <c r="F9" s="2"/>
      <c r="G9" s="2"/>
    </row>
    <row r="10">
      <c r="A10" s="7" t="s">
        <v>37</v>
      </c>
      <c r="B10" s="8" t="s">
        <v>39</v>
      </c>
      <c r="C10" s="7" t="s">
        <v>10</v>
      </c>
      <c r="D10" s="8" t="s">
        <v>42</v>
      </c>
      <c r="E10" s="8" t="s">
        <v>44</v>
      </c>
      <c r="F10" s="2"/>
      <c r="G10" s="2"/>
    </row>
    <row r="11">
      <c r="A11" s="5" t="s">
        <v>46</v>
      </c>
      <c r="B11" s="6" t="s">
        <v>48</v>
      </c>
      <c r="C11" s="5" t="s">
        <v>10</v>
      </c>
      <c r="D11" s="6" t="s">
        <v>50</v>
      </c>
      <c r="E11" s="6" t="s">
        <v>51</v>
      </c>
      <c r="F11" s="2"/>
      <c r="G11" s="2"/>
    </row>
    <row r="12">
      <c r="A12" s="7" t="s">
        <v>53</v>
      </c>
      <c r="B12" s="8" t="s">
        <v>54</v>
      </c>
      <c r="C12" s="7" t="s">
        <v>10</v>
      </c>
      <c r="D12" s="8" t="s">
        <v>56</v>
      </c>
      <c r="E12" s="8" t="s">
        <v>57</v>
      </c>
      <c r="F12" s="2"/>
      <c r="G12" s="2"/>
    </row>
    <row r="13">
      <c r="A13" s="5" t="s">
        <v>59</v>
      </c>
      <c r="B13" s="6" t="s">
        <v>60</v>
      </c>
      <c r="C13" s="5" t="s">
        <v>10</v>
      </c>
      <c r="D13" s="6" t="s">
        <v>62</v>
      </c>
      <c r="E13" s="6" t="s">
        <v>64</v>
      </c>
      <c r="F13" s="2"/>
      <c r="G13" s="2"/>
    </row>
    <row r="14">
      <c r="A14" s="7" t="s">
        <v>66</v>
      </c>
      <c r="B14" s="8" t="s">
        <v>67</v>
      </c>
      <c r="C14" s="7" t="s">
        <v>10</v>
      </c>
      <c r="D14" s="8" t="s">
        <v>68</v>
      </c>
      <c r="E14" s="8" t="s">
        <v>69</v>
      </c>
      <c r="F14" s="2"/>
      <c r="G14" s="2"/>
    </row>
    <row r="15">
      <c r="A15" s="5" t="s">
        <v>71</v>
      </c>
      <c r="B15" s="6" t="s">
        <v>73</v>
      </c>
      <c r="C15" s="5" t="s">
        <v>10</v>
      </c>
      <c r="D15" s="6" t="s">
        <v>75</v>
      </c>
      <c r="E15" s="6" t="s">
        <v>76</v>
      </c>
      <c r="F15" s="2"/>
      <c r="G15" s="2"/>
    </row>
    <row r="16">
      <c r="A16" s="7" t="s">
        <v>77</v>
      </c>
      <c r="B16" s="8" t="s">
        <v>79</v>
      </c>
      <c r="C16" s="7" t="s">
        <v>10</v>
      </c>
      <c r="D16" s="8" t="s">
        <v>80</v>
      </c>
      <c r="E16" s="8" t="s">
        <v>81</v>
      </c>
      <c r="F16" s="2"/>
      <c r="G16" s="2"/>
    </row>
    <row r="17">
      <c r="A17" s="5" t="s">
        <v>65</v>
      </c>
      <c r="B17" s="6" t="s">
        <v>82</v>
      </c>
      <c r="C17" s="5" t="s">
        <v>10</v>
      </c>
      <c r="D17" s="6" t="s">
        <v>83</v>
      </c>
      <c r="E17" s="6" t="s">
        <v>85</v>
      </c>
      <c r="F17" s="2"/>
      <c r="G17" s="2"/>
    </row>
    <row r="18">
      <c r="A18" s="7" t="s">
        <v>87</v>
      </c>
      <c r="B18" s="8" t="s">
        <v>89</v>
      </c>
      <c r="C18" s="7" t="s">
        <v>10</v>
      </c>
      <c r="D18" s="8" t="s">
        <v>90</v>
      </c>
      <c r="E18" s="8" t="s">
        <v>91</v>
      </c>
      <c r="F18" s="2"/>
      <c r="G18" s="2"/>
    </row>
    <row r="19">
      <c r="A19" s="2"/>
      <c r="B19" s="2"/>
      <c r="C19" s="2"/>
      <c r="D19" s="2"/>
      <c r="E19" s="2"/>
      <c r="F19" s="2"/>
      <c r="G19" s="2"/>
    </row>
    <row r="20">
      <c r="A20" s="9" t="s">
        <v>94</v>
      </c>
      <c r="B20" s="2"/>
      <c r="C20" s="2"/>
      <c r="D20" s="2"/>
      <c r="E20" s="2"/>
      <c r="F20" s="2"/>
      <c r="G20" s="2"/>
    </row>
    <row r="21" ht="15.75" customHeight="1">
      <c r="A21" s="12" t="s">
        <v>97</v>
      </c>
      <c r="B21" s="13">
        <f>COUNTIF(C5:C18,"Atendido")</f>
        <v>14</v>
      </c>
      <c r="C21" s="2"/>
      <c r="D21" s="2"/>
      <c r="E21" s="2"/>
      <c r="F21" s="2"/>
      <c r="G21" s="2"/>
    </row>
    <row r="22" ht="15.75" customHeight="1">
      <c r="A22" s="12" t="s">
        <v>117</v>
      </c>
      <c r="B22" s="13">
        <f>COUNTIF(C5:C18,"Parcial")</f>
        <v>0</v>
      </c>
      <c r="C22" s="2"/>
      <c r="D22" s="2"/>
      <c r="E22" s="2"/>
      <c r="F22" s="2"/>
      <c r="G22" s="2"/>
    </row>
    <row r="23" ht="15.75" customHeight="1">
      <c r="A23" s="12" t="s">
        <v>122</v>
      </c>
      <c r="B23" s="13">
        <f>COUNTIF(C5:C18,"Não atendido")</f>
        <v>0</v>
      </c>
      <c r="C23" s="2"/>
      <c r="D23" s="2"/>
      <c r="E23" s="2"/>
      <c r="F23" s="2"/>
      <c r="G23" s="2"/>
    </row>
    <row r="24" ht="15.75" customHeight="1">
      <c r="A24" s="12" t="s">
        <v>131</v>
      </c>
      <c r="B24" s="13">
        <f>COUNTA(A5:A18)</f>
        <v>14</v>
      </c>
      <c r="C24" s="2"/>
      <c r="D24" s="2"/>
      <c r="E24" s="2"/>
      <c r="F24" s="2"/>
      <c r="G24" s="2"/>
    </row>
    <row r="25" ht="15.75" customHeight="1">
      <c r="A25" s="2"/>
      <c r="B25" s="2"/>
      <c r="C25" s="2"/>
      <c r="D25" s="2"/>
      <c r="E25" s="2"/>
      <c r="F25" s="2"/>
      <c r="G25" s="2"/>
    </row>
    <row r="26" ht="15.75" customHeight="1">
      <c r="A26" s="15" t="s">
        <v>138</v>
      </c>
      <c r="B26" s="2"/>
      <c r="C26" s="2"/>
      <c r="D26" s="2"/>
      <c r="E26" s="2"/>
      <c r="F26" s="2"/>
      <c r="G26" s="2"/>
    </row>
    <row r="27" ht="15.75" customHeight="1">
      <c r="A27" s="15" t="s">
        <v>142</v>
      </c>
      <c r="B27" s="2"/>
      <c r="C27" s="2"/>
      <c r="D27" s="2"/>
      <c r="E27" s="2"/>
      <c r="F27" s="2"/>
      <c r="G27" s="2"/>
    </row>
    <row r="28" ht="15.75" customHeight="1">
      <c r="A28" s="2"/>
      <c r="B28" s="2"/>
      <c r="C28" s="2"/>
      <c r="D28" s="2"/>
      <c r="E28" s="2"/>
      <c r="F28" s="2"/>
      <c r="G28" s="2"/>
    </row>
    <row r="29" ht="15.75" customHeight="1">
      <c r="A29" s="2"/>
      <c r="B29" s="2"/>
      <c r="C29" s="2"/>
      <c r="D29" s="2"/>
      <c r="E29" s="2"/>
      <c r="F29" s="2"/>
      <c r="G29" s="2"/>
    </row>
    <row r="30" ht="15.75" customHeight="1">
      <c r="A30" s="2"/>
      <c r="B30" s="2"/>
      <c r="C30" s="2"/>
      <c r="D30" s="2"/>
      <c r="E30" s="2"/>
      <c r="F30" s="2"/>
      <c r="G30" s="2"/>
    </row>
    <row r="31" ht="15.75" customHeight="1">
      <c r="A31" s="2"/>
      <c r="B31" s="2"/>
      <c r="C31" s="2"/>
      <c r="D31" s="2"/>
      <c r="E31" s="2"/>
      <c r="F31" s="2"/>
      <c r="G31" s="2"/>
    </row>
    <row r="32" ht="15.75" customHeight="1">
      <c r="A32" s="2"/>
      <c r="B32" s="2"/>
      <c r="C32" s="2"/>
      <c r="D32" s="2"/>
      <c r="E32" s="2"/>
      <c r="F32" s="2"/>
      <c r="G32" s="2"/>
    </row>
    <row r="33" ht="15.75" customHeight="1">
      <c r="A33" s="2"/>
      <c r="B33" s="2"/>
      <c r="C33" s="2"/>
      <c r="D33" s="2"/>
      <c r="E33" s="2"/>
      <c r="F33" s="2"/>
      <c r="G33" s="2"/>
    </row>
    <row r="34" ht="15.75" customHeight="1">
      <c r="A34" s="2"/>
      <c r="B34" s="2"/>
      <c r="C34" s="2"/>
      <c r="D34" s="2"/>
      <c r="E34" s="2"/>
      <c r="F34" s="2"/>
      <c r="G34" s="2"/>
    </row>
    <row r="35" ht="15.75" customHeight="1">
      <c r="A35" s="2"/>
      <c r="B35" s="2"/>
      <c r="C35" s="2"/>
      <c r="D35" s="2"/>
      <c r="E35" s="2"/>
      <c r="F35" s="2"/>
      <c r="G35" s="2"/>
    </row>
    <row r="36" ht="15.75" customHeight="1">
      <c r="A36" s="2"/>
      <c r="B36" s="2"/>
      <c r="C36" s="2"/>
      <c r="D36" s="2"/>
      <c r="E36" s="2"/>
      <c r="F36" s="2"/>
      <c r="G36" s="2"/>
    </row>
    <row r="37" ht="15.75" customHeight="1">
      <c r="A37" s="2"/>
      <c r="B37" s="2"/>
      <c r="C37" s="2"/>
      <c r="D37" s="2"/>
      <c r="E37" s="2"/>
      <c r="F37" s="2"/>
      <c r="G37" s="2"/>
    </row>
    <row r="38" ht="15.75" customHeight="1">
      <c r="A38" s="2"/>
      <c r="B38" s="2"/>
      <c r="C38" s="2"/>
      <c r="D38" s="2"/>
      <c r="E38" s="2"/>
      <c r="F38" s="2"/>
      <c r="G38" s="2"/>
    </row>
    <row r="39" ht="15.75" customHeight="1">
      <c r="A39" s="2"/>
      <c r="B39" s="2"/>
      <c r="C39" s="2"/>
      <c r="D39" s="2"/>
      <c r="E39" s="2"/>
      <c r="F39" s="2"/>
      <c r="G39" s="2"/>
    </row>
    <row r="40" ht="15.75" customHeight="1">
      <c r="A40" s="2"/>
      <c r="B40" s="2"/>
      <c r="C40" s="2"/>
      <c r="D40" s="2"/>
      <c r="E40" s="2"/>
      <c r="F40" s="2"/>
      <c r="G40" s="2"/>
    </row>
    <row r="41" ht="15.75" customHeight="1">
      <c r="A41" s="2"/>
      <c r="B41" s="2"/>
      <c r="C41" s="2"/>
      <c r="D41" s="2"/>
      <c r="E41" s="2"/>
      <c r="F41" s="2"/>
      <c r="G41" s="2"/>
    </row>
    <row r="42" ht="15.75" customHeight="1">
      <c r="A42" s="2"/>
      <c r="B42" s="2"/>
      <c r="C42" s="2"/>
      <c r="D42" s="2"/>
      <c r="E42" s="2"/>
      <c r="F42" s="2"/>
      <c r="G42" s="2"/>
    </row>
    <row r="43" ht="15.75" customHeight="1">
      <c r="A43" s="2"/>
      <c r="B43" s="2"/>
      <c r="C43" s="2"/>
      <c r="D43" s="2"/>
      <c r="E43" s="2"/>
      <c r="F43" s="2"/>
      <c r="G43" s="2"/>
    </row>
    <row r="44" ht="15.75" customHeight="1">
      <c r="A44" s="2"/>
      <c r="B44" s="2"/>
      <c r="C44" s="2"/>
      <c r="D44" s="2"/>
      <c r="E44" s="2"/>
      <c r="F44" s="2"/>
      <c r="G44" s="2"/>
    </row>
    <row r="45" ht="15.75" customHeight="1">
      <c r="A45" s="2"/>
      <c r="B45" s="2"/>
      <c r="C45" s="2"/>
      <c r="D45" s="2"/>
      <c r="E45" s="2"/>
      <c r="F45" s="2"/>
      <c r="G45" s="2"/>
    </row>
    <row r="46" ht="15.75" customHeight="1">
      <c r="A46" s="2"/>
      <c r="B46" s="2"/>
      <c r="C46" s="2"/>
      <c r="D46" s="2"/>
      <c r="E46" s="2"/>
      <c r="F46" s="2"/>
      <c r="G46" s="2"/>
    </row>
    <row r="47" ht="15.75" customHeight="1">
      <c r="A47" s="2"/>
      <c r="B47" s="2"/>
      <c r="C47" s="2"/>
      <c r="D47" s="2"/>
      <c r="E47" s="2"/>
      <c r="F47" s="2"/>
      <c r="G47" s="2"/>
    </row>
    <row r="48" ht="15.75" customHeight="1">
      <c r="A48" s="2"/>
      <c r="B48" s="2"/>
      <c r="C48" s="2"/>
      <c r="D48" s="2"/>
      <c r="E48" s="2"/>
      <c r="F48" s="2"/>
      <c r="G48" s="2"/>
    </row>
    <row r="49" ht="15.75" customHeight="1">
      <c r="A49" s="2"/>
      <c r="B49" s="2"/>
      <c r="C49" s="2"/>
      <c r="D49" s="2"/>
      <c r="E49" s="2"/>
      <c r="F49" s="2"/>
      <c r="G49" s="2"/>
    </row>
    <row r="50" ht="15.75" customHeight="1">
      <c r="A50" s="2"/>
      <c r="B50" s="2"/>
      <c r="C50" s="2"/>
      <c r="D50" s="2"/>
      <c r="E50" s="2"/>
      <c r="F50" s="2"/>
      <c r="G50" s="2"/>
    </row>
    <row r="51" ht="15.75" customHeight="1">
      <c r="A51" s="2"/>
      <c r="B51" s="2"/>
      <c r="C51" s="2"/>
      <c r="D51" s="2"/>
      <c r="E51" s="2"/>
      <c r="F51" s="2"/>
      <c r="G51" s="2"/>
    </row>
    <row r="52" ht="15.75" customHeight="1">
      <c r="A52" s="2"/>
      <c r="B52" s="2"/>
      <c r="C52" s="2"/>
      <c r="D52" s="2"/>
      <c r="E52" s="2"/>
      <c r="F52" s="2"/>
      <c r="G52" s="2"/>
    </row>
    <row r="53" ht="15.75" customHeight="1">
      <c r="A53" s="2"/>
      <c r="B53" s="2"/>
      <c r="C53" s="2"/>
      <c r="D53" s="2"/>
      <c r="E53" s="2"/>
      <c r="F53" s="2"/>
      <c r="G53" s="2"/>
    </row>
    <row r="54" ht="15.75" customHeight="1">
      <c r="A54" s="2"/>
      <c r="B54" s="2"/>
      <c r="C54" s="2"/>
      <c r="D54" s="2"/>
      <c r="E54" s="2"/>
      <c r="F54" s="2"/>
      <c r="G54" s="2"/>
    </row>
    <row r="55" ht="15.75" customHeight="1">
      <c r="A55" s="2"/>
      <c r="B55" s="2"/>
      <c r="C55" s="2"/>
      <c r="D55" s="2"/>
      <c r="E55" s="2"/>
      <c r="F55" s="2"/>
      <c r="G55" s="2"/>
    </row>
    <row r="56" ht="15.75" customHeight="1">
      <c r="A56" s="2"/>
      <c r="B56" s="2"/>
      <c r="C56" s="2"/>
      <c r="D56" s="2"/>
      <c r="E56" s="2"/>
      <c r="F56" s="2"/>
      <c r="G56" s="2"/>
    </row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7.0"/>
    <col customWidth="1" min="2" max="2" width="20.0"/>
    <col customWidth="1" min="3" max="3" width="48.0"/>
    <col customWidth="1" min="4" max="4" width="54.0"/>
    <col customWidth="1" min="5" max="5" width="16.0"/>
    <col customWidth="1" min="6" max="6" width="13.0"/>
    <col customWidth="1" min="7" max="7" width="9.0"/>
    <col customWidth="1" min="8" max="10" width="14.0"/>
    <col customWidth="1" min="11" max="26" width="8.71"/>
  </cols>
  <sheetData>
    <row r="1">
      <c r="A1" s="1" t="s">
        <v>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>
      <c r="A2" s="3" t="s">
        <v>13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</row>
    <row r="4" ht="30.0" customHeight="1">
      <c r="A4" s="4" t="s">
        <v>28</v>
      </c>
      <c r="B4" s="4" t="s">
        <v>32</v>
      </c>
      <c r="C4" s="4" t="s">
        <v>34</v>
      </c>
      <c r="D4" s="4" t="s">
        <v>36</v>
      </c>
      <c r="E4" s="4" t="s">
        <v>38</v>
      </c>
      <c r="F4" s="4" t="s">
        <v>41</v>
      </c>
      <c r="G4" s="4" t="s">
        <v>43</v>
      </c>
      <c r="H4" s="4" t="s">
        <v>45</v>
      </c>
      <c r="I4" s="4" t="s">
        <v>47</v>
      </c>
      <c r="J4" s="4" t="s">
        <v>5</v>
      </c>
      <c r="K4" s="2"/>
      <c r="L4" s="2"/>
      <c r="M4" s="2"/>
    </row>
    <row r="5">
      <c r="A5" s="5" t="s">
        <v>55</v>
      </c>
      <c r="B5" s="6" t="s">
        <v>58</v>
      </c>
      <c r="C5" s="6" t="s">
        <v>61</v>
      </c>
      <c r="D5" s="6" t="s">
        <v>63</v>
      </c>
      <c r="E5" s="6" t="s">
        <v>65</v>
      </c>
      <c r="F5" s="5" t="s">
        <v>52</v>
      </c>
      <c r="G5" s="5">
        <v>3.0</v>
      </c>
      <c r="H5" s="5" t="s">
        <v>70</v>
      </c>
      <c r="I5" s="5" t="s">
        <v>72</v>
      </c>
      <c r="J5" s="5" t="s">
        <v>74</v>
      </c>
      <c r="K5" s="2"/>
      <c r="L5" s="2"/>
      <c r="M5" s="2"/>
    </row>
    <row r="6">
      <c r="A6" s="7" t="s">
        <v>78</v>
      </c>
      <c r="B6" s="8" t="s">
        <v>58</v>
      </c>
      <c r="C6" s="8" t="s">
        <v>84</v>
      </c>
      <c r="D6" s="8" t="s">
        <v>86</v>
      </c>
      <c r="E6" s="8" t="s">
        <v>88</v>
      </c>
      <c r="F6" s="7" t="s">
        <v>52</v>
      </c>
      <c r="G6" s="7">
        <v>5.0</v>
      </c>
      <c r="H6" s="7" t="s">
        <v>70</v>
      </c>
      <c r="I6" s="7" t="s">
        <v>72</v>
      </c>
      <c r="J6" s="7" t="s">
        <v>92</v>
      </c>
      <c r="K6" s="2"/>
      <c r="L6" s="2"/>
      <c r="M6" s="2"/>
    </row>
    <row r="7">
      <c r="A7" s="5" t="s">
        <v>93</v>
      </c>
      <c r="B7" s="6" t="s">
        <v>58</v>
      </c>
      <c r="C7" s="6" t="s">
        <v>95</v>
      </c>
      <c r="D7" s="6" t="s">
        <v>96</v>
      </c>
      <c r="E7" s="6" t="s">
        <v>98</v>
      </c>
      <c r="F7" s="5" t="s">
        <v>52</v>
      </c>
      <c r="G7" s="5">
        <v>5.0</v>
      </c>
      <c r="H7" s="5" t="s">
        <v>70</v>
      </c>
      <c r="I7" s="5" t="s">
        <v>99</v>
      </c>
      <c r="J7" s="5" t="s">
        <v>92</v>
      </c>
      <c r="K7" s="2"/>
      <c r="L7" s="2"/>
      <c r="M7" s="2"/>
    </row>
    <row r="8">
      <c r="A8" s="7" t="s">
        <v>101</v>
      </c>
      <c r="B8" s="8" t="s">
        <v>58</v>
      </c>
      <c r="C8" s="8" t="s">
        <v>102</v>
      </c>
      <c r="D8" s="8" t="s">
        <v>103</v>
      </c>
      <c r="E8" s="8" t="s">
        <v>71</v>
      </c>
      <c r="F8" s="7" t="s">
        <v>52</v>
      </c>
      <c r="G8" s="7">
        <v>3.0</v>
      </c>
      <c r="H8" s="7" t="s">
        <v>70</v>
      </c>
      <c r="I8" s="7" t="s">
        <v>104</v>
      </c>
      <c r="J8" s="7" t="s">
        <v>92</v>
      </c>
      <c r="K8" s="2"/>
      <c r="L8" s="2"/>
      <c r="M8" s="2"/>
    </row>
    <row r="9">
      <c r="A9" s="5" t="s">
        <v>105</v>
      </c>
      <c r="B9" s="6" t="s">
        <v>106</v>
      </c>
      <c r="C9" s="6" t="s">
        <v>107</v>
      </c>
      <c r="D9" s="6" t="s">
        <v>108</v>
      </c>
      <c r="E9" s="6" t="s">
        <v>109</v>
      </c>
      <c r="F9" s="5" t="s">
        <v>52</v>
      </c>
      <c r="G9" s="5">
        <v>5.0</v>
      </c>
      <c r="H9" s="5" t="s">
        <v>70</v>
      </c>
      <c r="I9" s="5" t="s">
        <v>99</v>
      </c>
      <c r="J9" s="5" t="s">
        <v>110</v>
      </c>
      <c r="K9" s="2"/>
      <c r="L9" s="2"/>
      <c r="M9" s="2"/>
    </row>
    <row r="10">
      <c r="A10" s="7" t="s">
        <v>111</v>
      </c>
      <c r="B10" s="8" t="s">
        <v>106</v>
      </c>
      <c r="C10" s="8" t="s">
        <v>112</v>
      </c>
      <c r="D10" s="8" t="s">
        <v>113</v>
      </c>
      <c r="E10" s="8" t="s">
        <v>114</v>
      </c>
      <c r="F10" s="7" t="s">
        <v>52</v>
      </c>
      <c r="G10" s="7">
        <v>5.0</v>
      </c>
      <c r="H10" s="7" t="s">
        <v>70</v>
      </c>
      <c r="I10" s="7" t="s">
        <v>99</v>
      </c>
      <c r="J10" s="7" t="s">
        <v>110</v>
      </c>
      <c r="K10" s="2"/>
      <c r="L10" s="2"/>
      <c r="M10" s="2"/>
    </row>
    <row r="11">
      <c r="A11" s="5" t="s">
        <v>116</v>
      </c>
      <c r="B11" s="6" t="s">
        <v>106</v>
      </c>
      <c r="C11" s="6" t="s">
        <v>118</v>
      </c>
      <c r="D11" s="6" t="s">
        <v>119</v>
      </c>
      <c r="E11" s="6" t="s">
        <v>120</v>
      </c>
      <c r="F11" s="5" t="s">
        <v>52</v>
      </c>
      <c r="G11" s="5">
        <v>3.0</v>
      </c>
      <c r="H11" s="5" t="s">
        <v>70</v>
      </c>
      <c r="I11" s="5" t="s">
        <v>72</v>
      </c>
      <c r="J11" s="5" t="s">
        <v>110</v>
      </c>
      <c r="K11" s="2"/>
      <c r="L11" s="2"/>
      <c r="M11" s="2"/>
    </row>
    <row r="12">
      <c r="A12" s="7" t="s">
        <v>121</v>
      </c>
      <c r="B12" s="8" t="s">
        <v>106</v>
      </c>
      <c r="C12" s="8" t="s">
        <v>123</v>
      </c>
      <c r="D12" s="8" t="s">
        <v>124</v>
      </c>
      <c r="E12" s="8" t="s">
        <v>125</v>
      </c>
      <c r="F12" s="7" t="s">
        <v>52</v>
      </c>
      <c r="G12" s="7">
        <v>5.0</v>
      </c>
      <c r="H12" s="7" t="s">
        <v>126</v>
      </c>
      <c r="I12" s="7" t="s">
        <v>104</v>
      </c>
      <c r="J12" s="7" t="s">
        <v>110</v>
      </c>
      <c r="K12" s="2"/>
      <c r="L12" s="2"/>
      <c r="M12" s="2"/>
    </row>
    <row r="13">
      <c r="A13" s="5" t="s">
        <v>127</v>
      </c>
      <c r="B13" s="6" t="s">
        <v>106</v>
      </c>
      <c r="C13" s="6" t="s">
        <v>128</v>
      </c>
      <c r="D13" s="6" t="s">
        <v>129</v>
      </c>
      <c r="E13" s="6" t="s">
        <v>125</v>
      </c>
      <c r="F13" s="5" t="s">
        <v>52</v>
      </c>
      <c r="G13" s="5">
        <v>3.0</v>
      </c>
      <c r="H13" s="5" t="s">
        <v>126</v>
      </c>
      <c r="I13" s="5" t="s">
        <v>99</v>
      </c>
      <c r="J13" s="5" t="s">
        <v>110</v>
      </c>
      <c r="K13" s="2"/>
      <c r="L13" s="2"/>
      <c r="M13" s="2"/>
    </row>
    <row r="14">
      <c r="A14" s="7" t="s">
        <v>132</v>
      </c>
      <c r="B14" s="8" t="s">
        <v>133</v>
      </c>
      <c r="C14" s="8" t="s">
        <v>134</v>
      </c>
      <c r="D14" s="8" t="s">
        <v>135</v>
      </c>
      <c r="E14" s="8" t="s">
        <v>136</v>
      </c>
      <c r="F14" s="7" t="s">
        <v>52</v>
      </c>
      <c r="G14" s="7">
        <v>8.0</v>
      </c>
      <c r="H14" s="7" t="s">
        <v>70</v>
      </c>
      <c r="I14" s="7" t="s">
        <v>72</v>
      </c>
      <c r="J14" s="7" t="s">
        <v>110</v>
      </c>
      <c r="K14" s="2"/>
      <c r="L14" s="2"/>
      <c r="M14" s="2"/>
    </row>
    <row r="15">
      <c r="A15" s="5" t="s">
        <v>137</v>
      </c>
      <c r="B15" s="6" t="s">
        <v>133</v>
      </c>
      <c r="C15" s="6" t="s">
        <v>139</v>
      </c>
      <c r="D15" s="6" t="s">
        <v>140</v>
      </c>
      <c r="E15" s="6" t="s">
        <v>141</v>
      </c>
      <c r="F15" s="5" t="s">
        <v>100</v>
      </c>
      <c r="G15" s="5">
        <v>5.0</v>
      </c>
      <c r="H15" s="5" t="s">
        <v>126</v>
      </c>
      <c r="I15" s="5" t="s">
        <v>104</v>
      </c>
      <c r="J15" s="5" t="s">
        <v>110</v>
      </c>
      <c r="K15" s="2"/>
      <c r="L15" s="2"/>
      <c r="M15" s="2"/>
    </row>
    <row r="16">
      <c r="A16" s="7" t="s">
        <v>143</v>
      </c>
      <c r="B16" s="8" t="s">
        <v>133</v>
      </c>
      <c r="C16" s="8" t="s">
        <v>144</v>
      </c>
      <c r="D16" s="8" t="s">
        <v>145</v>
      </c>
      <c r="E16" s="8" t="s">
        <v>146</v>
      </c>
      <c r="F16" s="7" t="s">
        <v>52</v>
      </c>
      <c r="G16" s="7">
        <v>8.0</v>
      </c>
      <c r="H16" s="7" t="s">
        <v>126</v>
      </c>
      <c r="I16" s="7" t="s">
        <v>99</v>
      </c>
      <c r="J16" s="7" t="s">
        <v>110</v>
      </c>
      <c r="K16" s="2"/>
      <c r="L16" s="2"/>
      <c r="M16" s="2"/>
    </row>
    <row r="17">
      <c r="A17" s="5" t="s">
        <v>147</v>
      </c>
      <c r="B17" s="6" t="s">
        <v>133</v>
      </c>
      <c r="C17" s="6" t="s">
        <v>148</v>
      </c>
      <c r="D17" s="6" t="s">
        <v>149</v>
      </c>
      <c r="E17" s="6" t="s">
        <v>150</v>
      </c>
      <c r="F17" s="5" t="s">
        <v>52</v>
      </c>
      <c r="G17" s="5">
        <v>5.0</v>
      </c>
      <c r="H17" s="5" t="s">
        <v>126</v>
      </c>
      <c r="I17" s="5" t="s">
        <v>99</v>
      </c>
      <c r="J17" s="5" t="s">
        <v>110</v>
      </c>
      <c r="K17" s="2"/>
      <c r="L17" s="2"/>
      <c r="M17" s="2"/>
    </row>
    <row r="18">
      <c r="A18" s="7" t="s">
        <v>151</v>
      </c>
      <c r="B18" s="8" t="s">
        <v>133</v>
      </c>
      <c r="C18" s="8" t="s">
        <v>152</v>
      </c>
      <c r="D18" s="8" t="s">
        <v>153</v>
      </c>
      <c r="E18" s="8" t="s">
        <v>154</v>
      </c>
      <c r="F18" s="7" t="s">
        <v>100</v>
      </c>
      <c r="G18" s="7">
        <v>5.0</v>
      </c>
      <c r="H18" s="7" t="s">
        <v>126</v>
      </c>
      <c r="I18" s="7" t="s">
        <v>104</v>
      </c>
      <c r="J18" s="7" t="s">
        <v>110</v>
      </c>
      <c r="K18" s="2"/>
      <c r="L18" s="2"/>
      <c r="M18" s="2"/>
    </row>
    <row r="19">
      <c r="A19" s="5" t="s">
        <v>155</v>
      </c>
      <c r="B19" s="6" t="s">
        <v>133</v>
      </c>
      <c r="C19" s="6" t="s">
        <v>156</v>
      </c>
      <c r="D19" s="6" t="s">
        <v>157</v>
      </c>
      <c r="E19" s="6" t="s">
        <v>158</v>
      </c>
      <c r="F19" s="5" t="s">
        <v>100</v>
      </c>
      <c r="G19" s="5">
        <v>3.0</v>
      </c>
      <c r="H19" s="5" t="s">
        <v>126</v>
      </c>
      <c r="I19" s="5" t="s">
        <v>72</v>
      </c>
      <c r="J19" s="5" t="s">
        <v>110</v>
      </c>
      <c r="K19" s="2"/>
      <c r="L19" s="2"/>
      <c r="M19" s="2"/>
    </row>
    <row r="20">
      <c r="A20" s="7" t="s">
        <v>159</v>
      </c>
      <c r="B20" s="8" t="s">
        <v>133</v>
      </c>
      <c r="C20" s="8" t="s">
        <v>160</v>
      </c>
      <c r="D20" s="8" t="s">
        <v>161</v>
      </c>
      <c r="E20" s="8" t="s">
        <v>162</v>
      </c>
      <c r="F20" s="7" t="s">
        <v>100</v>
      </c>
      <c r="G20" s="7">
        <v>5.0</v>
      </c>
      <c r="H20" s="7" t="s">
        <v>163</v>
      </c>
      <c r="I20" s="7" t="s">
        <v>104</v>
      </c>
      <c r="J20" s="7" t="s">
        <v>110</v>
      </c>
      <c r="K20" s="2"/>
      <c r="L20" s="2"/>
      <c r="M20" s="2"/>
    </row>
    <row r="21" ht="15.75" customHeight="1">
      <c r="A21" s="5" t="s">
        <v>164</v>
      </c>
      <c r="B21" s="6" t="s">
        <v>165</v>
      </c>
      <c r="C21" s="6" t="s">
        <v>166</v>
      </c>
      <c r="D21" s="6" t="s">
        <v>167</v>
      </c>
      <c r="E21" s="6" t="s">
        <v>168</v>
      </c>
      <c r="F21" s="5" t="s">
        <v>52</v>
      </c>
      <c r="G21" s="5">
        <v>8.0</v>
      </c>
      <c r="H21" s="5" t="s">
        <v>126</v>
      </c>
      <c r="I21" s="5" t="s">
        <v>99</v>
      </c>
      <c r="J21" s="5" t="s">
        <v>110</v>
      </c>
      <c r="K21" s="2"/>
      <c r="L21" s="2"/>
      <c r="M21" s="2"/>
    </row>
    <row r="22" ht="15.75" customHeight="1">
      <c r="A22" s="7" t="s">
        <v>169</v>
      </c>
      <c r="B22" s="8" t="s">
        <v>165</v>
      </c>
      <c r="C22" s="8" t="s">
        <v>170</v>
      </c>
      <c r="D22" s="8" t="s">
        <v>171</v>
      </c>
      <c r="E22" s="8" t="s">
        <v>172</v>
      </c>
      <c r="F22" s="7" t="s">
        <v>52</v>
      </c>
      <c r="G22" s="7">
        <v>3.0</v>
      </c>
      <c r="H22" s="7" t="s">
        <v>126</v>
      </c>
      <c r="I22" s="7" t="s">
        <v>72</v>
      </c>
      <c r="J22" s="7" t="s">
        <v>110</v>
      </c>
      <c r="K22" s="2"/>
      <c r="L22" s="2"/>
      <c r="M22" s="2"/>
    </row>
    <row r="23" ht="15.75" customHeight="1">
      <c r="A23" s="5" t="s">
        <v>173</v>
      </c>
      <c r="B23" s="6" t="s">
        <v>165</v>
      </c>
      <c r="C23" s="6" t="s">
        <v>174</v>
      </c>
      <c r="D23" s="6" t="s">
        <v>175</v>
      </c>
      <c r="E23" s="6" t="s">
        <v>176</v>
      </c>
      <c r="F23" s="5" t="s">
        <v>52</v>
      </c>
      <c r="G23" s="5">
        <v>8.0</v>
      </c>
      <c r="H23" s="5" t="s">
        <v>126</v>
      </c>
      <c r="I23" s="5" t="s">
        <v>72</v>
      </c>
      <c r="J23" s="5" t="s">
        <v>110</v>
      </c>
      <c r="K23" s="2"/>
      <c r="L23" s="2"/>
      <c r="M23" s="2"/>
    </row>
    <row r="24" ht="15.75" customHeight="1">
      <c r="A24" s="7" t="s">
        <v>177</v>
      </c>
      <c r="B24" s="8" t="s">
        <v>165</v>
      </c>
      <c r="C24" s="8" t="s">
        <v>178</v>
      </c>
      <c r="D24" s="8" t="s">
        <v>179</v>
      </c>
      <c r="E24" s="8" t="s">
        <v>180</v>
      </c>
      <c r="F24" s="7" t="s">
        <v>52</v>
      </c>
      <c r="G24" s="7">
        <v>8.0</v>
      </c>
      <c r="H24" s="7" t="s">
        <v>126</v>
      </c>
      <c r="I24" s="7" t="s">
        <v>99</v>
      </c>
      <c r="J24" s="7" t="s">
        <v>110</v>
      </c>
      <c r="K24" s="2"/>
      <c r="L24" s="2"/>
      <c r="M24" s="2"/>
    </row>
    <row r="25" ht="15.75" customHeight="1">
      <c r="A25" s="5" t="s">
        <v>181</v>
      </c>
      <c r="B25" s="6" t="s">
        <v>165</v>
      </c>
      <c r="C25" s="6" t="s">
        <v>182</v>
      </c>
      <c r="D25" s="6" t="s">
        <v>183</v>
      </c>
      <c r="E25" s="6" t="s">
        <v>184</v>
      </c>
      <c r="F25" s="5" t="s">
        <v>52</v>
      </c>
      <c r="G25" s="5">
        <v>5.0</v>
      </c>
      <c r="H25" s="5" t="s">
        <v>126</v>
      </c>
      <c r="I25" s="5" t="s">
        <v>99</v>
      </c>
      <c r="J25" s="5" t="s">
        <v>110</v>
      </c>
      <c r="K25" s="2"/>
      <c r="L25" s="2"/>
      <c r="M25" s="2"/>
    </row>
    <row r="26" ht="15.75" customHeight="1">
      <c r="A26" s="7" t="s">
        <v>185</v>
      </c>
      <c r="B26" s="8" t="s">
        <v>165</v>
      </c>
      <c r="C26" s="8" t="s">
        <v>186</v>
      </c>
      <c r="D26" s="8" t="s">
        <v>187</v>
      </c>
      <c r="E26" s="8" t="s">
        <v>188</v>
      </c>
      <c r="F26" s="7" t="s">
        <v>52</v>
      </c>
      <c r="G26" s="7">
        <v>5.0</v>
      </c>
      <c r="H26" s="7" t="s">
        <v>126</v>
      </c>
      <c r="I26" s="7" t="s">
        <v>72</v>
      </c>
      <c r="J26" s="7" t="s">
        <v>110</v>
      </c>
      <c r="K26" s="2"/>
      <c r="L26" s="2"/>
      <c r="M26" s="2"/>
    </row>
    <row r="27" ht="15.75" customHeight="1">
      <c r="A27" s="5" t="s">
        <v>190</v>
      </c>
      <c r="B27" s="6" t="s">
        <v>165</v>
      </c>
      <c r="C27" s="6" t="s">
        <v>191</v>
      </c>
      <c r="D27" s="6" t="s">
        <v>192</v>
      </c>
      <c r="E27" s="6" t="s">
        <v>193</v>
      </c>
      <c r="F27" s="5" t="s">
        <v>100</v>
      </c>
      <c r="G27" s="5">
        <v>3.0</v>
      </c>
      <c r="H27" s="5" t="s">
        <v>163</v>
      </c>
      <c r="I27" s="5" t="s">
        <v>72</v>
      </c>
      <c r="J27" s="5" t="s">
        <v>110</v>
      </c>
      <c r="K27" s="2"/>
      <c r="L27" s="2"/>
      <c r="M27" s="2"/>
    </row>
    <row r="28" ht="15.75" customHeight="1">
      <c r="A28" s="7" t="s">
        <v>194</v>
      </c>
      <c r="B28" s="8" t="s">
        <v>165</v>
      </c>
      <c r="C28" s="8" t="s">
        <v>195</v>
      </c>
      <c r="D28" s="8" t="s">
        <v>196</v>
      </c>
      <c r="E28" s="8" t="s">
        <v>197</v>
      </c>
      <c r="F28" s="7" t="s">
        <v>100</v>
      </c>
      <c r="G28" s="7">
        <v>5.0</v>
      </c>
      <c r="H28" s="7" t="s">
        <v>163</v>
      </c>
      <c r="I28" s="7" t="s">
        <v>104</v>
      </c>
      <c r="J28" s="7" t="s">
        <v>110</v>
      </c>
      <c r="K28" s="2"/>
      <c r="L28" s="2"/>
      <c r="M28" s="2"/>
    </row>
    <row r="29" ht="15.75" customHeight="1">
      <c r="A29" s="5" t="s">
        <v>198</v>
      </c>
      <c r="B29" s="6" t="s">
        <v>199</v>
      </c>
      <c r="C29" s="6" t="s">
        <v>200</v>
      </c>
      <c r="D29" s="6" t="s">
        <v>201</v>
      </c>
      <c r="E29" s="6" t="s">
        <v>202</v>
      </c>
      <c r="F29" s="5" t="s">
        <v>52</v>
      </c>
      <c r="G29" s="5">
        <v>8.0</v>
      </c>
      <c r="H29" s="5" t="s">
        <v>163</v>
      </c>
      <c r="I29" s="5" t="s">
        <v>99</v>
      </c>
      <c r="J29" s="5" t="s">
        <v>110</v>
      </c>
      <c r="K29" s="2"/>
      <c r="L29" s="2"/>
      <c r="M29" s="2"/>
    </row>
    <row r="30" ht="15.75" customHeight="1">
      <c r="A30" s="7" t="s">
        <v>203</v>
      </c>
      <c r="B30" s="8" t="s">
        <v>199</v>
      </c>
      <c r="C30" s="8" t="s">
        <v>204</v>
      </c>
      <c r="D30" s="8" t="s">
        <v>205</v>
      </c>
      <c r="E30" s="8" t="s">
        <v>206</v>
      </c>
      <c r="F30" s="7" t="s">
        <v>52</v>
      </c>
      <c r="G30" s="7">
        <v>5.0</v>
      </c>
      <c r="H30" s="7" t="s">
        <v>163</v>
      </c>
      <c r="I30" s="7" t="s">
        <v>72</v>
      </c>
      <c r="J30" s="7" t="s">
        <v>110</v>
      </c>
      <c r="K30" s="2"/>
      <c r="L30" s="2"/>
      <c r="M30" s="2"/>
    </row>
    <row r="31" ht="15.75" customHeight="1">
      <c r="A31" s="5" t="s">
        <v>208</v>
      </c>
      <c r="B31" s="6" t="s">
        <v>199</v>
      </c>
      <c r="C31" s="6" t="s">
        <v>209</v>
      </c>
      <c r="D31" s="6" t="s">
        <v>210</v>
      </c>
      <c r="E31" s="6" t="s">
        <v>211</v>
      </c>
      <c r="F31" s="5" t="s">
        <v>52</v>
      </c>
      <c r="G31" s="5">
        <v>5.0</v>
      </c>
      <c r="H31" s="5" t="s">
        <v>163</v>
      </c>
      <c r="I31" s="5" t="s">
        <v>104</v>
      </c>
      <c r="J31" s="5" t="s">
        <v>110</v>
      </c>
      <c r="K31" s="2"/>
      <c r="L31" s="2"/>
      <c r="M31" s="2"/>
    </row>
    <row r="32" ht="15.75" customHeight="1">
      <c r="A32" s="7" t="s">
        <v>212</v>
      </c>
      <c r="B32" s="8" t="s">
        <v>199</v>
      </c>
      <c r="C32" s="8" t="s">
        <v>213</v>
      </c>
      <c r="D32" s="8" t="s">
        <v>214</v>
      </c>
      <c r="E32" s="8" t="s">
        <v>215</v>
      </c>
      <c r="F32" s="7" t="s">
        <v>52</v>
      </c>
      <c r="G32" s="7">
        <v>13.0</v>
      </c>
      <c r="H32" s="7" t="s">
        <v>163</v>
      </c>
      <c r="I32" s="7" t="s">
        <v>72</v>
      </c>
      <c r="J32" s="7" t="s">
        <v>110</v>
      </c>
      <c r="K32" s="2"/>
      <c r="L32" s="2"/>
      <c r="M32" s="2"/>
    </row>
    <row r="33" ht="15.75" customHeight="1">
      <c r="A33" s="5" t="s">
        <v>216</v>
      </c>
      <c r="B33" s="6" t="s">
        <v>199</v>
      </c>
      <c r="C33" s="6" t="s">
        <v>217</v>
      </c>
      <c r="D33" s="6" t="s">
        <v>218</v>
      </c>
      <c r="E33" s="6" t="s">
        <v>219</v>
      </c>
      <c r="F33" s="5" t="s">
        <v>52</v>
      </c>
      <c r="G33" s="5">
        <v>5.0</v>
      </c>
      <c r="H33" s="5" t="s">
        <v>163</v>
      </c>
      <c r="I33" s="5" t="s">
        <v>99</v>
      </c>
      <c r="J33" s="5" t="s">
        <v>110</v>
      </c>
      <c r="K33" s="2"/>
      <c r="L33" s="2"/>
      <c r="M33" s="2"/>
    </row>
    <row r="34" ht="15.75" customHeight="1">
      <c r="A34" s="7" t="s">
        <v>220</v>
      </c>
      <c r="B34" s="8" t="s">
        <v>199</v>
      </c>
      <c r="C34" s="8" t="s">
        <v>221</v>
      </c>
      <c r="D34" s="8" t="s">
        <v>222</v>
      </c>
      <c r="E34" s="8" t="s">
        <v>223</v>
      </c>
      <c r="F34" s="7" t="s">
        <v>100</v>
      </c>
      <c r="G34" s="7">
        <v>3.0</v>
      </c>
      <c r="H34" s="7" t="s">
        <v>163</v>
      </c>
      <c r="I34" s="7" t="s">
        <v>72</v>
      </c>
      <c r="J34" s="7" t="s">
        <v>110</v>
      </c>
      <c r="K34" s="2"/>
      <c r="L34" s="2"/>
      <c r="M34" s="2"/>
    </row>
    <row r="35" ht="15.75" customHeight="1">
      <c r="A35" s="5" t="s">
        <v>224</v>
      </c>
      <c r="B35" s="6" t="s">
        <v>199</v>
      </c>
      <c r="C35" s="6" t="s">
        <v>225</v>
      </c>
      <c r="D35" s="6" t="s">
        <v>226</v>
      </c>
      <c r="E35" s="6" t="s">
        <v>227</v>
      </c>
      <c r="F35" s="5" t="s">
        <v>100</v>
      </c>
      <c r="G35" s="5">
        <v>3.0</v>
      </c>
      <c r="H35" s="5" t="s">
        <v>126</v>
      </c>
      <c r="I35" s="5" t="s">
        <v>104</v>
      </c>
      <c r="J35" s="5" t="s">
        <v>110</v>
      </c>
      <c r="K35" s="2"/>
      <c r="L35" s="2"/>
      <c r="M35" s="2"/>
    </row>
    <row r="36" ht="15.75" customHeight="1">
      <c r="A36" s="7" t="s">
        <v>229</v>
      </c>
      <c r="B36" s="8" t="s">
        <v>230</v>
      </c>
      <c r="C36" s="8" t="s">
        <v>231</v>
      </c>
      <c r="D36" s="8" t="s">
        <v>232</v>
      </c>
      <c r="E36" s="8" t="s">
        <v>233</v>
      </c>
      <c r="F36" s="7" t="s">
        <v>52</v>
      </c>
      <c r="G36" s="7">
        <v>5.0</v>
      </c>
      <c r="H36" s="7" t="s">
        <v>189</v>
      </c>
      <c r="I36" s="7" t="s">
        <v>104</v>
      </c>
      <c r="J36" s="7" t="s">
        <v>110</v>
      </c>
      <c r="K36" s="2"/>
      <c r="L36" s="2"/>
      <c r="M36" s="2"/>
    </row>
    <row r="37" ht="15.75" customHeight="1">
      <c r="A37" s="5" t="s">
        <v>234</v>
      </c>
      <c r="B37" s="6" t="s">
        <v>230</v>
      </c>
      <c r="C37" s="6" t="s">
        <v>235</v>
      </c>
      <c r="D37" s="6" t="s">
        <v>236</v>
      </c>
      <c r="E37" s="6" t="s">
        <v>237</v>
      </c>
      <c r="F37" s="5" t="s">
        <v>52</v>
      </c>
      <c r="G37" s="5">
        <v>5.0</v>
      </c>
      <c r="H37" s="5" t="s">
        <v>189</v>
      </c>
      <c r="I37" s="5" t="s">
        <v>104</v>
      </c>
      <c r="J37" s="5" t="s">
        <v>110</v>
      </c>
      <c r="K37" s="2"/>
      <c r="L37" s="2"/>
      <c r="M37" s="2"/>
    </row>
    <row r="38" ht="15.75" customHeight="1">
      <c r="A38" s="7" t="s">
        <v>238</v>
      </c>
      <c r="B38" s="8" t="s">
        <v>230</v>
      </c>
      <c r="C38" s="8" t="s">
        <v>239</v>
      </c>
      <c r="D38" s="8" t="s">
        <v>240</v>
      </c>
      <c r="E38" s="8" t="s">
        <v>66</v>
      </c>
      <c r="F38" s="7" t="s">
        <v>52</v>
      </c>
      <c r="G38" s="7">
        <v>5.0</v>
      </c>
      <c r="H38" s="7" t="s">
        <v>207</v>
      </c>
      <c r="I38" s="7" t="s">
        <v>104</v>
      </c>
      <c r="J38" s="7" t="s">
        <v>110</v>
      </c>
      <c r="K38" s="2"/>
      <c r="L38" s="2"/>
      <c r="M38" s="2"/>
    </row>
    <row r="39" ht="15.75" customHeight="1">
      <c r="A39" s="5" t="s">
        <v>241</v>
      </c>
      <c r="B39" s="6" t="s">
        <v>230</v>
      </c>
      <c r="C39" s="6" t="s">
        <v>242</v>
      </c>
      <c r="D39" s="6" t="s">
        <v>243</v>
      </c>
      <c r="E39" s="6" t="s">
        <v>71</v>
      </c>
      <c r="F39" s="5" t="s">
        <v>52</v>
      </c>
      <c r="G39" s="5">
        <v>5.0</v>
      </c>
      <c r="H39" s="5" t="s">
        <v>207</v>
      </c>
      <c r="I39" s="5" t="s">
        <v>244</v>
      </c>
      <c r="J39" s="5" t="s">
        <v>110</v>
      </c>
      <c r="K39" s="2"/>
      <c r="L39" s="2"/>
      <c r="M39" s="2"/>
    </row>
    <row r="40" ht="15.75" customHeight="1">
      <c r="A40" s="7" t="s">
        <v>245</v>
      </c>
      <c r="B40" s="8" t="s">
        <v>230</v>
      </c>
      <c r="C40" s="8" t="s">
        <v>247</v>
      </c>
      <c r="D40" s="8" t="s">
        <v>248</v>
      </c>
      <c r="E40" s="8" t="s">
        <v>66</v>
      </c>
      <c r="F40" s="7" t="s">
        <v>52</v>
      </c>
      <c r="G40" s="7">
        <v>8.0</v>
      </c>
      <c r="H40" s="7" t="s">
        <v>189</v>
      </c>
      <c r="I40" s="7" t="s">
        <v>244</v>
      </c>
      <c r="J40" s="7" t="s">
        <v>110</v>
      </c>
      <c r="K40" s="2"/>
      <c r="L40" s="2"/>
      <c r="M40" s="2"/>
    </row>
    <row r="41" ht="15.75" customHeight="1">
      <c r="A41" s="5" t="s">
        <v>249</v>
      </c>
      <c r="B41" s="6" t="s">
        <v>230</v>
      </c>
      <c r="C41" s="6" t="s">
        <v>250</v>
      </c>
      <c r="D41" s="6" t="s">
        <v>251</v>
      </c>
      <c r="E41" s="6" t="s">
        <v>87</v>
      </c>
      <c r="F41" s="5" t="s">
        <v>52</v>
      </c>
      <c r="G41" s="5">
        <v>3.0</v>
      </c>
      <c r="H41" s="5" t="s">
        <v>189</v>
      </c>
      <c r="I41" s="5" t="s">
        <v>72</v>
      </c>
      <c r="J41" s="5" t="s">
        <v>110</v>
      </c>
      <c r="K41" s="2"/>
      <c r="L41" s="2"/>
      <c r="M41" s="2"/>
    </row>
    <row r="42" ht="15.75" customHeight="1">
      <c r="A42" s="7" t="s">
        <v>252</v>
      </c>
      <c r="B42" s="8" t="s">
        <v>230</v>
      </c>
      <c r="C42" s="8" t="s">
        <v>253</v>
      </c>
      <c r="D42" s="8" t="s">
        <v>254</v>
      </c>
      <c r="E42" s="8" t="s">
        <v>65</v>
      </c>
      <c r="F42" s="7" t="s">
        <v>52</v>
      </c>
      <c r="G42" s="7">
        <v>5.0</v>
      </c>
      <c r="H42" s="7" t="s">
        <v>228</v>
      </c>
      <c r="I42" s="7" t="s">
        <v>99</v>
      </c>
      <c r="J42" s="7" t="s">
        <v>110</v>
      </c>
      <c r="K42" s="2"/>
      <c r="L42" s="2"/>
      <c r="M42" s="2"/>
    </row>
    <row r="43" ht="15.75" customHeight="1">
      <c r="A43" s="5" t="s">
        <v>255</v>
      </c>
      <c r="B43" s="6" t="s">
        <v>133</v>
      </c>
      <c r="C43" s="6" t="s">
        <v>256</v>
      </c>
      <c r="D43" s="6" t="s">
        <v>257</v>
      </c>
      <c r="E43" s="6" t="s">
        <v>258</v>
      </c>
      <c r="F43" s="5" t="s">
        <v>115</v>
      </c>
      <c r="G43" s="5">
        <v>3.0</v>
      </c>
      <c r="H43" s="5" t="s">
        <v>189</v>
      </c>
      <c r="I43" s="5" t="s">
        <v>104</v>
      </c>
      <c r="J43" s="5" t="s">
        <v>110</v>
      </c>
      <c r="K43" s="2"/>
      <c r="L43" s="2"/>
      <c r="M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</row>
    <row r="45" ht="15.75" customHeight="1">
      <c r="A45" s="2"/>
      <c r="B45" s="2"/>
      <c r="C45" s="13" t="s">
        <v>259</v>
      </c>
      <c r="D45" s="2"/>
      <c r="E45" s="2"/>
      <c r="F45" s="2"/>
      <c r="G45" s="13">
        <f>SUM(G5:G43)</f>
        <v>202</v>
      </c>
      <c r="H45" s="2"/>
      <c r="I45" s="2"/>
      <c r="J45" s="2"/>
      <c r="K45" s="2"/>
      <c r="L45" s="2"/>
      <c r="M45" s="2"/>
    </row>
    <row r="46" ht="15.75" customHeight="1">
      <c r="A46" s="2"/>
      <c r="B46" s="2"/>
      <c r="C46" s="15"/>
      <c r="D46" s="2"/>
      <c r="E46" s="2"/>
      <c r="F46" s="2"/>
      <c r="G46" s="2"/>
      <c r="H46" s="2"/>
      <c r="I46" s="2"/>
      <c r="J46" s="2"/>
      <c r="K46" s="2"/>
      <c r="L46" s="2"/>
      <c r="M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</row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6.0"/>
    <col customWidth="1" min="2" max="4" width="14.0"/>
    <col customWidth="1" min="5" max="26" width="8.71"/>
  </cols>
  <sheetData>
    <row r="1">
      <c r="A1" s="1" t="s">
        <v>14</v>
      </c>
      <c r="B1" s="2"/>
      <c r="C1" s="2"/>
      <c r="D1" s="2"/>
    </row>
    <row r="2">
      <c r="A2" s="3" t="s">
        <v>19</v>
      </c>
      <c r="B2" s="2"/>
      <c r="C2" s="2"/>
      <c r="D2" s="2"/>
    </row>
    <row r="3">
      <c r="A3" s="2"/>
      <c r="B3" s="2"/>
      <c r="C3" s="2"/>
      <c r="D3" s="2"/>
    </row>
    <row r="4">
      <c r="A4" s="9" t="s">
        <v>24</v>
      </c>
      <c r="B4" s="2"/>
      <c r="C4" s="2"/>
      <c r="D4" s="2"/>
    </row>
    <row r="5">
      <c r="A5" s="10" t="s">
        <v>40</v>
      </c>
      <c r="B5" s="10" t="s">
        <v>49</v>
      </c>
      <c r="C5" s="10" t="s">
        <v>43</v>
      </c>
    </row>
    <row r="6">
      <c r="A6" s="11" t="s">
        <v>52</v>
      </c>
      <c r="B6" s="11">
        <f>COUNTIF('Backlog priorizado'!$F$5:$F$43,"Essencial")</f>
        <v>30</v>
      </c>
      <c r="C6" s="11">
        <f>SUMIF('Backlog priorizado'!$F$5:$F$43,"Essencial",'Backlog priorizado'!$G$5:$G$43)</f>
        <v>167</v>
      </c>
    </row>
    <row r="7">
      <c r="A7" s="11" t="s">
        <v>100</v>
      </c>
      <c r="B7" s="11">
        <f>COUNTIF('Backlog priorizado'!$F$5:$F$43,"Importante")</f>
        <v>8</v>
      </c>
      <c r="C7" s="11">
        <f>SUMIF('Backlog priorizado'!$F$5:$F$43,"Importante",'Backlog priorizado'!$G$5:$G$43)</f>
        <v>32</v>
      </c>
    </row>
    <row r="8">
      <c r="A8" s="11" t="s">
        <v>115</v>
      </c>
      <c r="B8" s="11">
        <f>COUNTIF('Backlog priorizado'!$F$5:$F$43,"Desejável")</f>
        <v>1</v>
      </c>
      <c r="C8" s="11">
        <f>SUMIF('Backlog priorizado'!$F$5:$F$43,"Desejável",'Backlog priorizado'!$G$5:$G$43)</f>
        <v>3</v>
      </c>
    </row>
    <row r="9">
      <c r="A9" s="2"/>
      <c r="B9" s="2"/>
      <c r="C9" s="2"/>
    </row>
    <row r="11">
      <c r="A11" s="14" t="s">
        <v>130</v>
      </c>
    </row>
    <row r="12">
      <c r="A12" s="10" t="s">
        <v>40</v>
      </c>
      <c r="B12" s="10" t="s">
        <v>49</v>
      </c>
      <c r="C12" s="10" t="s">
        <v>43</v>
      </c>
    </row>
    <row r="13">
      <c r="A13" s="11" t="s">
        <v>70</v>
      </c>
      <c r="B13" s="11">
        <f>COUNTIF('Backlog priorizado'!$H$5:$H$43,"Ciclo 1")</f>
        <v>8</v>
      </c>
      <c r="C13" s="11">
        <f>SUMIF('Backlog priorizado'!$H$5:$H$43,"Ciclo 1",'Backlog priorizado'!$G$5:$G$43)</f>
        <v>37</v>
      </c>
    </row>
    <row r="14">
      <c r="A14" s="11" t="s">
        <v>126</v>
      </c>
      <c r="B14" s="11">
        <f>COUNTIF('Backlog priorizado'!$H$5:$H$43,"Ciclo 2")</f>
        <v>14</v>
      </c>
      <c r="C14" s="11">
        <f>SUMIF('Backlog priorizado'!$H$5:$H$43,"Ciclo 2",'Backlog priorizado'!$G$5:$G$43)</f>
        <v>74</v>
      </c>
    </row>
    <row r="15">
      <c r="A15" s="11" t="s">
        <v>163</v>
      </c>
      <c r="B15" s="11">
        <f>COUNTIF('Backlog priorizado'!$H$5:$H$43,"Ciclo 3")</f>
        <v>9</v>
      </c>
      <c r="C15" s="11">
        <f>SUMIF('Backlog priorizado'!$H$5:$H$43,"Ciclo 3",'Backlog priorizado'!$G$5:$G$43)</f>
        <v>52</v>
      </c>
    </row>
    <row r="16">
      <c r="A16" s="11" t="s">
        <v>189</v>
      </c>
      <c r="B16" s="11">
        <f>COUNTIF('Backlog priorizado'!$H$5:$H$43,"Ciclo 4")</f>
        <v>5</v>
      </c>
      <c r="C16" s="11">
        <f>SUMIF('Backlog priorizado'!$H$5:$H$43,"Ciclo 4",'Backlog priorizado'!$G$5:$G$43)</f>
        <v>24</v>
      </c>
    </row>
    <row r="17">
      <c r="A17" s="11" t="s">
        <v>207</v>
      </c>
      <c r="B17" s="11">
        <f>COUNTIF('Backlog priorizado'!$H$5:$H$43,"Verificação")</f>
        <v>2</v>
      </c>
      <c r="C17" s="11">
        <f>SUMIF('Backlog priorizado'!$H$5:$H$43,"Verificação",'Backlog priorizado'!$G$5:$G$43)</f>
        <v>10</v>
      </c>
    </row>
    <row r="18">
      <c r="A18" s="11" t="s">
        <v>228</v>
      </c>
      <c r="B18" s="11">
        <f>COUNTIF('Backlog priorizado'!$H$5:$H$43,"Encerramento")</f>
        <v>1</v>
      </c>
      <c r="C18" s="11">
        <f>SUMIF('Backlog priorizado'!$H$5:$H$43,"Encerramento",'Backlog priorizado'!$G$5:$G$43)</f>
        <v>5</v>
      </c>
    </row>
    <row r="19">
      <c r="A19" s="2"/>
      <c r="B19" s="2"/>
      <c r="C19" s="2"/>
    </row>
    <row r="21" ht="15.75" customHeight="1">
      <c r="A21" s="14" t="s">
        <v>246</v>
      </c>
    </row>
    <row r="22" ht="15.75" customHeight="1">
      <c r="A22" s="10" t="s">
        <v>40</v>
      </c>
      <c r="B22" s="10" t="s">
        <v>49</v>
      </c>
      <c r="C22" s="10" t="s">
        <v>43</v>
      </c>
    </row>
    <row r="23" ht="15.75" customHeight="1">
      <c r="A23" s="11" t="s">
        <v>99</v>
      </c>
      <c r="B23" s="11">
        <f>COUNTIF('Backlog priorizado'!$I$5:$I$43,"Sophia")</f>
        <v>12</v>
      </c>
      <c r="C23" s="11">
        <f>SUMIF('Backlog priorizado'!$I$5:$I$43,"Sophia",'Backlog priorizado'!$G$5:$G$43)</f>
        <v>70</v>
      </c>
      <c r="D23" s="2"/>
    </row>
    <row r="24" ht="15.75" customHeight="1">
      <c r="A24" s="11" t="s">
        <v>72</v>
      </c>
      <c r="B24" s="11">
        <f>COUNTIF('Backlog priorizado'!$I$5:$I$43,"Gabriel")</f>
        <v>13</v>
      </c>
      <c r="C24" s="11">
        <f>SUMIF('Backlog priorizado'!$I$5:$I$43,"Gabriel",'Backlog priorizado'!$G$5:$G$43)</f>
        <v>65</v>
      </c>
      <c r="D24" s="2"/>
    </row>
    <row r="25" ht="15.75" customHeight="1">
      <c r="A25" s="11" t="s">
        <v>104</v>
      </c>
      <c r="B25" s="11">
        <f>COUNTIF('Backlog priorizado'!$I$5:$I$43,"Hemily")</f>
        <v>12</v>
      </c>
      <c r="C25" s="11">
        <f>SUMIF('Backlog priorizado'!$I$5:$I$43,"Hemily",'Backlog priorizado'!$G$5:$G$43)</f>
        <v>54</v>
      </c>
      <c r="D25" s="2"/>
    </row>
    <row r="26" ht="15.75" customHeight="1">
      <c r="A26" s="11" t="s">
        <v>244</v>
      </c>
      <c r="B26" s="11">
        <f>COUNTIF('Backlog priorizado'!$I$5:$I$43,"Todos")</f>
        <v>2</v>
      </c>
      <c r="C26" s="11">
        <f>SUMIF('Backlog priorizado'!$I$5:$I$43,"Todos",'Backlog priorizado'!$G$5:$G$43)</f>
        <v>13</v>
      </c>
      <c r="D26" s="2"/>
    </row>
    <row r="27" ht="15.75" customHeight="1"/>
    <row r="28" ht="15.75" customHeight="1"/>
    <row r="29" ht="15.75" customHeight="1">
      <c r="A29" s="14" t="s">
        <v>260</v>
      </c>
    </row>
    <row r="30" ht="15.75" customHeight="1">
      <c r="A30" s="10" t="s">
        <v>40</v>
      </c>
      <c r="B30" s="10" t="s">
        <v>49</v>
      </c>
      <c r="C30" s="10" t="s">
        <v>43</v>
      </c>
    </row>
    <row r="31" ht="15.75" customHeight="1">
      <c r="A31" s="11" t="s">
        <v>110</v>
      </c>
      <c r="B31" s="11">
        <f>COUNTIF('Backlog priorizado'!$J$5:$J$43,"A fazer")</f>
        <v>35</v>
      </c>
      <c r="C31" s="11">
        <f>SUMIF('Backlog priorizado'!$J$5:$J$43,"A fazer",'Backlog priorizado'!$G$5:$G$43)</f>
        <v>186</v>
      </c>
    </row>
    <row r="32" ht="15.75" customHeight="1">
      <c r="A32" s="11" t="s">
        <v>92</v>
      </c>
      <c r="B32" s="11">
        <f>COUNTIF('Backlog priorizado'!$J$5:$J$43,"Em andamento")</f>
        <v>3</v>
      </c>
      <c r="C32" s="11">
        <f>SUMIF('Backlog priorizado'!$J$5:$J$43,"Em andamento",'Backlog priorizado'!$G$5:$G$43)</f>
        <v>13</v>
      </c>
    </row>
    <row r="33" ht="15.75" customHeight="1">
      <c r="A33" s="11" t="s">
        <v>74</v>
      </c>
      <c r="B33" s="11">
        <f>COUNTIF('Backlog priorizado'!$J$5:$J$43,"Concluído")</f>
        <v>1</v>
      </c>
      <c r="C33" s="11">
        <f>SUMIF('Backlog priorizado'!$J$5:$J$43,"Concluído",'Backlog priorizado'!$G$5:$G$43)</f>
        <v>3</v>
      </c>
    </row>
    <row r="34" ht="15.75" customHeight="1">
      <c r="A34" s="11" t="s">
        <v>261</v>
      </c>
      <c r="B34" s="11">
        <f>COUNTIF('Backlog priorizado'!$J$5:$J$43,"Replanejado")</f>
        <v>0</v>
      </c>
      <c r="C34" s="11">
        <f>SUMIF('Backlog priorizado'!$J$5:$J$43,"Replanejado",'Backlog priorizado'!$G$5:$G$43)</f>
        <v>0</v>
      </c>
    </row>
    <row r="35" ht="15.75" customHeight="1"/>
    <row r="36" ht="15.75" customHeight="1"/>
    <row r="37" ht="15.75" customHeight="1">
      <c r="A37" s="16"/>
    </row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